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lphi\STALKER PDA\Resources\Файлы\"/>
    </mc:Choice>
  </mc:AlternateContent>
  <xr:revisionPtr revIDLastSave="0" documentId="13_ncr:1_{2531DB0A-E239-4BDC-9FFB-4810DAB32467}" xr6:coauthVersionLast="47" xr6:coauthVersionMax="47" xr10:uidLastSave="{00000000-0000-0000-0000-000000000000}"/>
  <bookViews>
    <workbookView xWindow="13110" yWindow="3240" windowWidth="38700" windowHeight="15345" xr2:uid="{FF7A69F3-EC8A-4B52-AE20-D4A58505E5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M14" i="1"/>
  <c r="L14" i="1"/>
  <c r="K14" i="1"/>
  <c r="J14" i="1"/>
  <c r="K15" i="1" s="1"/>
  <c r="C25" i="1"/>
  <c r="C23" i="1"/>
  <c r="B25" i="1"/>
  <c r="B23" i="1"/>
  <c r="B29" i="1" s="1"/>
  <c r="G15" i="1"/>
  <c r="F25" i="1" s="1"/>
  <c r="H15" i="1"/>
  <c r="E25" i="1" s="1"/>
  <c r="H13" i="1"/>
  <c r="E23" i="1" s="1"/>
  <c r="G13" i="1"/>
  <c r="F23" i="1" s="1"/>
  <c r="E29" i="1" l="1"/>
  <c r="C29" i="1"/>
  <c r="F29" i="1"/>
</calcChain>
</file>

<file path=xl/sharedStrings.xml><?xml version="1.0" encoding="utf-8"?>
<sst xmlns="http://schemas.openxmlformats.org/spreadsheetml/2006/main" count="21" uniqueCount="14">
  <si>
    <t>Широта:</t>
  </si>
  <si>
    <t>Долгота:</t>
  </si>
  <si>
    <t>Размеры карты в пикселях:</t>
  </si>
  <si>
    <t>Ширина</t>
  </si>
  <si>
    <t>высота</t>
  </si>
  <si>
    <t>Расчетные координаты</t>
  </si>
  <si>
    <t>Ш</t>
  </si>
  <si>
    <t>Д</t>
  </si>
  <si>
    <t>На карте левый-верхний</t>
  </si>
  <si>
    <t>В</t>
  </si>
  <si>
    <t>На карте правый-нижний</t>
  </si>
  <si>
    <t>ЛВ</t>
  </si>
  <si>
    <t>ПН</t>
  </si>
  <si>
    <t>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</si>
</sst>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4E81-59BA-455B-96AC-37A288C84F21}">
  <dimension ref="A2:M29"/>
  <sheetViews>
    <sheetView tabSelected="1" workbookViewId="0">
      <selection activeCell="B15" sqref="B15:C15"/>
    </sheetView>
  </sheetViews>
  <sheetFormatPr defaultRowHeight="15" x14ac:dyDescent="0.25"/>
  <cols>
    <col min="2" max="2" width="14.42578125" bestFit="1" customWidth="1"/>
    <col min="3" max="3" width="16.85546875" customWidth="1"/>
    <col min="5" max="5" width="14.42578125" bestFit="1" customWidth="1"/>
    <col min="6" max="6" width="13.7109375" bestFit="1" customWidth="1"/>
    <col min="11" max="11" width="13.42578125" bestFit="1" customWidth="1"/>
    <col min="13" max="13" width="13.42578125" bestFit="1" customWidth="1"/>
  </cols>
  <sheetData>
    <row r="2" spans="2:13" x14ac:dyDescent="0.25">
      <c r="B2" t="s">
        <v>0</v>
      </c>
      <c r="C2" s="1">
        <v>2.06159861941992E-6</v>
      </c>
    </row>
    <row r="3" spans="2:13" x14ac:dyDescent="0.25">
      <c r="B3" t="s">
        <v>1</v>
      </c>
      <c r="C3" s="1">
        <v>2.9177033935650099E-6</v>
      </c>
    </row>
    <row r="6" spans="2:13" x14ac:dyDescent="0.25">
      <c r="B6" t="s">
        <v>2</v>
      </c>
    </row>
    <row r="7" spans="2:13" x14ac:dyDescent="0.25">
      <c r="B7" t="s">
        <v>3</v>
      </c>
      <c r="C7">
        <v>5048</v>
      </c>
    </row>
    <row r="8" spans="2:13" x14ac:dyDescent="0.25">
      <c r="B8" t="s">
        <v>4</v>
      </c>
      <c r="C8">
        <v>3949</v>
      </c>
    </row>
    <row r="11" spans="2:13" x14ac:dyDescent="0.25">
      <c r="B11" t="s">
        <v>5</v>
      </c>
      <c r="D11" t="s">
        <v>8</v>
      </c>
      <c r="G11" t="s">
        <v>10</v>
      </c>
    </row>
    <row r="12" spans="2:13" x14ac:dyDescent="0.25">
      <c r="B12" t="s">
        <v>6</v>
      </c>
      <c r="C12" t="s">
        <v>7</v>
      </c>
      <c r="D12" t="s">
        <v>6</v>
      </c>
      <c r="E12" t="s">
        <v>9</v>
      </c>
      <c r="G12" t="s">
        <v>6</v>
      </c>
      <c r="H12" t="s">
        <v>9</v>
      </c>
    </row>
    <row r="13" spans="2:13" x14ac:dyDescent="0.25">
      <c r="B13" s="1">
        <v>51.816347946999997</v>
      </c>
      <c r="C13" s="1">
        <v>24.021934098999999</v>
      </c>
      <c r="D13">
        <v>4231</v>
      </c>
      <c r="E13">
        <v>701</v>
      </c>
      <c r="G13">
        <f>$C$7-D13</f>
        <v>817</v>
      </c>
      <c r="H13">
        <f>$C$8-E13</f>
        <v>3248</v>
      </c>
    </row>
    <row r="14" spans="2:13" x14ac:dyDescent="0.25">
      <c r="B14" s="1"/>
      <c r="C14" s="1"/>
      <c r="J14">
        <f>D13-D15</f>
        <v>2173</v>
      </c>
      <c r="K14" s="1">
        <f>B15-B13</f>
        <v>-4.4798537999994892E-3</v>
      </c>
      <c r="L14">
        <f>E15-E13</f>
        <v>2269</v>
      </c>
      <c r="M14" s="1">
        <f>C15-C13</f>
        <v>-6.6202689999990127E-3</v>
      </c>
    </row>
    <row r="15" spans="2:13" x14ac:dyDescent="0.25">
      <c r="B15" s="1">
        <v>51.811868093199998</v>
      </c>
      <c r="C15" s="1">
        <v>24.01531383</v>
      </c>
      <c r="D15">
        <v>2058</v>
      </c>
      <c r="E15">
        <v>2970</v>
      </c>
      <c r="G15">
        <f t="shared" ref="G14:G17" si="0">$C$7-D15</f>
        <v>2990</v>
      </c>
      <c r="H15">
        <f t="shared" ref="H14:H17" si="1">$C$8-E15</f>
        <v>979</v>
      </c>
      <c r="K15">
        <f>K14/J14</f>
        <v>-2.0615986194199213E-6</v>
      </c>
      <c r="M15">
        <f>M14/L14</f>
        <v>-2.9177033935650124E-6</v>
      </c>
    </row>
    <row r="16" spans="2:13" x14ac:dyDescent="0.25">
      <c r="B16" s="1"/>
      <c r="C16" s="1"/>
    </row>
    <row r="17" spans="1:6" x14ac:dyDescent="0.25">
      <c r="B17" s="1"/>
      <c r="C17" s="1"/>
    </row>
    <row r="18" spans="1:6" x14ac:dyDescent="0.25">
      <c r="B18" s="1"/>
      <c r="C18" s="1"/>
    </row>
    <row r="19" spans="1:6" x14ac:dyDescent="0.25">
      <c r="B19" s="1"/>
      <c r="C19" s="1"/>
    </row>
    <row r="20" spans="1:6" x14ac:dyDescent="0.25">
      <c r="B20" s="1"/>
      <c r="C20" s="1"/>
    </row>
    <row r="21" spans="1:6" x14ac:dyDescent="0.25">
      <c r="B21" s="1" t="s">
        <v>11</v>
      </c>
      <c r="C21" s="1"/>
      <c r="E21" t="s">
        <v>12</v>
      </c>
    </row>
    <row r="22" spans="1:6" x14ac:dyDescent="0.25">
      <c r="B22" s="1" t="s">
        <v>6</v>
      </c>
      <c r="C22" s="1" t="s">
        <v>7</v>
      </c>
      <c r="E22" t="s">
        <v>6</v>
      </c>
      <c r="F22" t="s">
        <v>7</v>
      </c>
    </row>
    <row r="23" spans="1:6" x14ac:dyDescent="0.25">
      <c r="B23" s="1">
        <f>$C$2*E13+B13</f>
        <v>51.817793127632207</v>
      </c>
      <c r="C23" s="1">
        <f>C13 - $C$3*D13</f>
        <v>24.009589295941826</v>
      </c>
      <c r="E23" s="1">
        <f>B13-$C$2*H13</f>
        <v>51.809651874684121</v>
      </c>
      <c r="F23" s="1">
        <f>C13 + $C$3*G13</f>
        <v>24.024317862672543</v>
      </c>
    </row>
    <row r="24" spans="1:6" x14ac:dyDescent="0.25">
      <c r="B24" s="1"/>
      <c r="C24" s="1"/>
      <c r="E24" s="1"/>
      <c r="F24" s="1"/>
    </row>
    <row r="25" spans="1:6" x14ac:dyDescent="0.25">
      <c r="B25" s="1">
        <f t="shared" ref="B24:B27" si="2">$C$2*E15+B15</f>
        <v>51.817991041099674</v>
      </c>
      <c r="C25" s="1">
        <f t="shared" ref="C24:C27" si="3">C15 - $C$3*D15</f>
        <v>24.009309196416044</v>
      </c>
      <c r="E25" s="1">
        <f t="shared" ref="E24:E27" si="4">B15-$C$2*H15</f>
        <v>51.809849788151588</v>
      </c>
      <c r="F25" s="1">
        <f t="shared" ref="F24:F27" si="5">C15 + $C$3*G15</f>
        <v>24.024037763146758</v>
      </c>
    </row>
    <row r="26" spans="1:6" x14ac:dyDescent="0.25">
      <c r="B26" s="1"/>
      <c r="C26" s="1"/>
      <c r="E26" s="1"/>
      <c r="F26" s="1"/>
    </row>
    <row r="27" spans="1:6" x14ac:dyDescent="0.25">
      <c r="B27" s="1"/>
      <c r="C27" s="1"/>
      <c r="E27" s="1"/>
      <c r="F27" s="1"/>
    </row>
    <row r="29" spans="1:6" x14ac:dyDescent="0.25">
      <c r="A29" t="s">
        <v>13</v>
      </c>
      <c r="B29" s="2">
        <f>AVERAGE(B23:B27)</f>
        <v>51.817892084365937</v>
      </c>
      <c r="C29" s="2">
        <f>AVERAGE(C23:C27)</f>
        <v>24.009449246178935</v>
      </c>
      <c r="D29" s="3"/>
      <c r="E29" s="2">
        <f>AVERAGE(E23:E27)</f>
        <v>51.809750831417858</v>
      </c>
      <c r="F29" s="2">
        <f>AVERAGE(F23:F27)</f>
        <v>24.024177812909649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2026-03-30T10:09:59Z</dcterms:created>
  <dcterms:modified xsi:type="dcterms:W3CDTF">2026-03-30T16:25:47Z</dcterms:modified>
</cp:coreProperties>
</file>