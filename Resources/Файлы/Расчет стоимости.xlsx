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lphi\STALKER PDA\Resources\Файлы\"/>
    </mc:Choice>
  </mc:AlternateContent>
  <xr:revisionPtr revIDLastSave="0" documentId="8_{C0C86816-AD7C-406C-A037-3AFB8B0D3927}" xr6:coauthVersionLast="47" xr6:coauthVersionMax="47" xr10:uidLastSave="{00000000-0000-0000-0000-000000000000}"/>
  <bookViews>
    <workbookView xWindow="-120" yWindow="-120" windowWidth="51840" windowHeight="21120" xr2:uid="{7526900B-8705-4317-B659-F07C5BA8B36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" i="1" l="1"/>
  <c r="AI1" i="1"/>
  <c r="AJ1" i="1"/>
  <c r="AK1" i="1"/>
  <c r="AL1" i="1"/>
  <c r="AH2" i="1"/>
  <c r="AI2" i="1"/>
  <c r="AN2" i="1" s="1"/>
  <c r="AJ2" i="1"/>
  <c r="AK2" i="1"/>
  <c r="AL2" i="1"/>
  <c r="AH3" i="1"/>
  <c r="AN3" i="1" s="1"/>
  <c r="AI3" i="1"/>
  <c r="AJ3" i="1"/>
  <c r="AK3" i="1"/>
  <c r="AL3" i="1"/>
  <c r="AH4" i="1"/>
  <c r="AI4" i="1"/>
  <c r="AJ4" i="1"/>
  <c r="AK4" i="1"/>
  <c r="AL4" i="1"/>
  <c r="AH5" i="1"/>
  <c r="AI5" i="1"/>
  <c r="AN5" i="1" s="1"/>
  <c r="AJ5" i="1"/>
  <c r="AK5" i="1"/>
  <c r="AL5" i="1"/>
  <c r="AH6" i="1"/>
  <c r="AI6" i="1"/>
  <c r="AJ6" i="1"/>
  <c r="AK6" i="1"/>
  <c r="AL6" i="1"/>
  <c r="AH7" i="1"/>
  <c r="AI7" i="1"/>
  <c r="AJ7" i="1"/>
  <c r="AK7" i="1"/>
  <c r="AL7" i="1"/>
  <c r="AH8" i="1"/>
  <c r="AI8" i="1"/>
  <c r="AJ8" i="1"/>
  <c r="AK8" i="1"/>
  <c r="AL8" i="1"/>
  <c r="AH9" i="1"/>
  <c r="AI9" i="1"/>
  <c r="AJ9" i="1"/>
  <c r="AK9" i="1"/>
  <c r="AL9" i="1"/>
  <c r="AH10" i="1"/>
  <c r="AI10" i="1"/>
  <c r="AJ10" i="1"/>
  <c r="AK10" i="1"/>
  <c r="AL10" i="1"/>
  <c r="AH11" i="1"/>
  <c r="AI11" i="1"/>
  <c r="AJ11" i="1"/>
  <c r="AK11" i="1"/>
  <c r="AL11" i="1"/>
  <c r="AH12" i="1"/>
  <c r="AI12" i="1"/>
  <c r="AJ12" i="1"/>
  <c r="AK12" i="1"/>
  <c r="AL12" i="1"/>
  <c r="AH13" i="1"/>
  <c r="AI13" i="1"/>
  <c r="AJ13" i="1"/>
  <c r="AK13" i="1"/>
  <c r="AL13" i="1"/>
  <c r="AH14" i="1"/>
  <c r="AI14" i="1"/>
  <c r="AJ14" i="1"/>
  <c r="AK14" i="1"/>
  <c r="AL14" i="1"/>
  <c r="AH15" i="1"/>
  <c r="AI15" i="1"/>
  <c r="AN15" i="1" s="1"/>
  <c r="AJ15" i="1"/>
  <c r="AK15" i="1"/>
  <c r="AL15" i="1"/>
  <c r="AH16" i="1"/>
  <c r="AI16" i="1"/>
  <c r="AJ16" i="1"/>
  <c r="AK16" i="1"/>
  <c r="AL16" i="1"/>
  <c r="AH17" i="1"/>
  <c r="AN17" i="1" s="1"/>
  <c r="AI17" i="1"/>
  <c r="AJ17" i="1"/>
  <c r="AK17" i="1"/>
  <c r="AL17" i="1"/>
  <c r="AH18" i="1"/>
  <c r="AI18" i="1"/>
  <c r="AJ18" i="1"/>
  <c r="AK18" i="1"/>
  <c r="AL18" i="1"/>
  <c r="AH19" i="1"/>
  <c r="AI19" i="1"/>
  <c r="AJ19" i="1"/>
  <c r="AK19" i="1"/>
  <c r="AL19" i="1"/>
  <c r="AH20" i="1"/>
  <c r="AN20" i="1" s="1"/>
  <c r="AI20" i="1"/>
  <c r="AJ20" i="1"/>
  <c r="AK20" i="1"/>
  <c r="AL20" i="1"/>
  <c r="AH21" i="1"/>
  <c r="AI21" i="1"/>
  <c r="AJ21" i="1"/>
  <c r="AK21" i="1"/>
  <c r="AL21" i="1"/>
  <c r="AH22" i="1"/>
  <c r="AI22" i="1"/>
  <c r="AJ22" i="1"/>
  <c r="AK22" i="1"/>
  <c r="AL22" i="1"/>
  <c r="AH23" i="1"/>
  <c r="AI23" i="1"/>
  <c r="AJ23" i="1"/>
  <c r="AK23" i="1"/>
  <c r="AL23" i="1"/>
  <c r="AG2" i="1"/>
  <c r="AG3" i="1"/>
  <c r="AG4" i="1"/>
  <c r="AG5" i="1"/>
  <c r="AG6" i="1"/>
  <c r="AG7" i="1"/>
  <c r="AG8" i="1"/>
  <c r="AG9" i="1"/>
  <c r="AG10" i="1"/>
  <c r="AG11" i="1"/>
  <c r="AG12" i="1"/>
  <c r="AG13" i="1"/>
  <c r="AN13" i="1" s="1"/>
  <c r="AG14" i="1"/>
  <c r="AG15" i="1"/>
  <c r="AG16" i="1"/>
  <c r="AG17" i="1"/>
  <c r="AG18" i="1"/>
  <c r="AG19" i="1"/>
  <c r="AG20" i="1"/>
  <c r="AG21" i="1"/>
  <c r="AG22" i="1"/>
  <c r="AG23" i="1"/>
  <c r="AG1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1" i="1"/>
  <c r="AN4" i="1"/>
  <c r="AN14" i="1"/>
  <c r="AN16" i="1"/>
  <c r="AN1" i="1"/>
  <c r="Y2" i="1"/>
  <c r="Z2" i="1"/>
  <c r="AA2" i="1"/>
  <c r="AB2" i="1"/>
  <c r="AC2" i="1"/>
  <c r="AD2" i="1"/>
  <c r="Y3" i="1"/>
  <c r="Z3" i="1"/>
  <c r="AA3" i="1"/>
  <c r="AB3" i="1"/>
  <c r="AC3" i="1"/>
  <c r="AD3" i="1"/>
  <c r="Y4" i="1"/>
  <c r="Z4" i="1"/>
  <c r="AA4" i="1"/>
  <c r="AB4" i="1"/>
  <c r="AC4" i="1"/>
  <c r="AD4" i="1"/>
  <c r="Y5" i="1"/>
  <c r="Z5" i="1"/>
  <c r="AA5" i="1"/>
  <c r="AB5" i="1"/>
  <c r="AC5" i="1"/>
  <c r="AD5" i="1"/>
  <c r="Y6" i="1"/>
  <c r="Z6" i="1"/>
  <c r="AA6" i="1"/>
  <c r="AB6" i="1"/>
  <c r="AC6" i="1"/>
  <c r="AD6" i="1"/>
  <c r="Y7" i="1"/>
  <c r="Z7" i="1"/>
  <c r="AA7" i="1"/>
  <c r="AB7" i="1"/>
  <c r="AC7" i="1"/>
  <c r="AD7" i="1"/>
  <c r="Y8" i="1"/>
  <c r="Z8" i="1"/>
  <c r="AA8" i="1"/>
  <c r="AB8" i="1"/>
  <c r="AC8" i="1"/>
  <c r="AD8" i="1"/>
  <c r="Y9" i="1"/>
  <c r="Z9" i="1"/>
  <c r="AA9" i="1"/>
  <c r="AB9" i="1"/>
  <c r="AC9" i="1"/>
  <c r="AD9" i="1"/>
  <c r="Y10" i="1"/>
  <c r="Z10" i="1"/>
  <c r="AA10" i="1"/>
  <c r="AB10" i="1"/>
  <c r="AC10" i="1"/>
  <c r="AD10" i="1"/>
  <c r="Y11" i="1"/>
  <c r="Z11" i="1"/>
  <c r="AA11" i="1"/>
  <c r="AB11" i="1"/>
  <c r="AC11" i="1"/>
  <c r="AD11" i="1"/>
  <c r="Y12" i="1"/>
  <c r="Z12" i="1"/>
  <c r="AA12" i="1"/>
  <c r="AB12" i="1"/>
  <c r="AC12" i="1"/>
  <c r="AD12" i="1"/>
  <c r="Y13" i="1"/>
  <c r="Z13" i="1"/>
  <c r="AA13" i="1"/>
  <c r="AB13" i="1"/>
  <c r="AC13" i="1"/>
  <c r="AD13" i="1"/>
  <c r="Y14" i="1"/>
  <c r="Z14" i="1"/>
  <c r="AA14" i="1"/>
  <c r="AB14" i="1"/>
  <c r="AC14" i="1"/>
  <c r="AD14" i="1"/>
  <c r="Y15" i="1"/>
  <c r="Z15" i="1"/>
  <c r="AA15" i="1"/>
  <c r="AB15" i="1"/>
  <c r="AC15" i="1"/>
  <c r="AD15" i="1"/>
  <c r="Y16" i="1"/>
  <c r="Z16" i="1"/>
  <c r="AA16" i="1"/>
  <c r="AB16" i="1"/>
  <c r="AC16" i="1"/>
  <c r="AD16" i="1"/>
  <c r="Y17" i="1"/>
  <c r="Z17" i="1"/>
  <c r="AA17" i="1"/>
  <c r="AB17" i="1"/>
  <c r="AC17" i="1"/>
  <c r="AD17" i="1"/>
  <c r="Y18" i="1"/>
  <c r="Z18" i="1"/>
  <c r="AA18" i="1"/>
  <c r="AB18" i="1"/>
  <c r="AC18" i="1"/>
  <c r="AD18" i="1"/>
  <c r="Y19" i="1"/>
  <c r="Z19" i="1"/>
  <c r="AA19" i="1"/>
  <c r="AB19" i="1"/>
  <c r="AC19" i="1"/>
  <c r="AD19" i="1"/>
  <c r="Y20" i="1"/>
  <c r="Z20" i="1"/>
  <c r="AA20" i="1"/>
  <c r="AB20" i="1"/>
  <c r="AC20" i="1"/>
  <c r="AD20" i="1"/>
  <c r="Y21" i="1"/>
  <c r="Z21" i="1"/>
  <c r="AA21" i="1"/>
  <c r="AB21" i="1"/>
  <c r="AC21" i="1"/>
  <c r="AD21" i="1"/>
  <c r="Y22" i="1"/>
  <c r="Z22" i="1"/>
  <c r="AA22" i="1"/>
  <c r="AB22" i="1"/>
  <c r="AC22" i="1"/>
  <c r="AD22" i="1"/>
  <c r="Y23" i="1"/>
  <c r="Z23" i="1"/>
  <c r="AA23" i="1"/>
  <c r="AB23" i="1"/>
  <c r="AC23" i="1"/>
  <c r="AD23" i="1"/>
  <c r="Z1" i="1"/>
  <c r="AA1" i="1"/>
  <c r="AB1" i="1"/>
  <c r="AC1" i="1"/>
  <c r="AD1" i="1"/>
  <c r="Y1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1" i="1"/>
  <c r="AN8" i="1" l="1"/>
  <c r="AN12" i="1"/>
  <c r="AN23" i="1"/>
  <c r="AN11" i="1"/>
  <c r="AN22" i="1"/>
  <c r="AN10" i="1"/>
  <c r="AN21" i="1"/>
  <c r="AN9" i="1"/>
  <c r="AN19" i="1"/>
  <c r="AN7" i="1"/>
  <c r="AN18" i="1"/>
  <c r="AN6" i="1"/>
</calcChain>
</file>

<file path=xl/sharedStrings.xml><?xml version="1.0" encoding="utf-8"?>
<sst xmlns="http://schemas.openxmlformats.org/spreadsheetml/2006/main" count="46" uniqueCount="46">
  <si>
    <t>file:///E:/Delphi/STALKER PDA/Resources/Armors/Бронекостюм «Берил-5М»</t>
  </si>
  <si>
    <t>Бронекостюм «Берил-5М»</t>
  </si>
  <si>
    <t>file:///E:/Delphi/STALKER PDA/Resources/Armors/Екзоскелет</t>
  </si>
  <si>
    <t>Екзоскелет</t>
  </si>
  <si>
    <t>file:///E:/Delphi/STALKER PDA/Resources/Armors/Екзоскелет «Алмаз»</t>
  </si>
  <si>
    <t>Екзоскелет «Алмаз»</t>
  </si>
  <si>
    <t>file:///E:/Delphi/STALKER PDA/Resources/Armors/Екзоскелет «Брумбар»</t>
  </si>
  <si>
    <t>Екзоскелет «Брумбар»</t>
  </si>
  <si>
    <t>file:///E:/Delphi/STALKER PDA/Resources/Armors/Екзоскелет «Воля»</t>
  </si>
  <si>
    <t>Екзоскелет «Воля»</t>
  </si>
  <si>
    <t>file:///E:/Delphi/STALKER PDA/Resources/Armors/Екзоскелет «Панцир»</t>
  </si>
  <si>
    <t>Екзоскелет «Панцир»</t>
  </si>
  <si>
    <t>file:///E:/Delphi/STALKER PDA/Resources/Armors/Екзоскелет Бандиты</t>
  </si>
  <si>
    <t>Екзоскелет Бандиты</t>
  </si>
  <si>
    <t>file:///E:/Delphi/STALKER PDA/Resources/Armors/Комбинезон «Зоря»</t>
  </si>
  <si>
    <t>Комбинезон «Зоря»</t>
  </si>
  <si>
    <t>file:///E:/Delphi/STALKER PDA/Resources/Armors/Комбинезон «СЕВА-В»</t>
  </si>
  <si>
    <t>Комбинезон «СЕВА-В»</t>
  </si>
  <si>
    <t>file:///E:/Delphi/STALKER PDA/Resources/Armors/Комбинезон «СЕВА-Д»</t>
  </si>
  <si>
    <t>Комбинезон «СЕВА-Д»</t>
  </si>
  <si>
    <t>file:///E:/Delphi/STALKER PDA/Resources/Armors/Комбинезон «Сева-М» (DLC)</t>
  </si>
  <si>
    <t>Комбинезон «Сева-М» (DLC)</t>
  </si>
  <si>
    <t>file:///E:/Delphi/STALKER PDA/Resources/Armors/Комбинезон «СЕВА-Н»</t>
  </si>
  <si>
    <t>Комбинезон «СЕВА-Н»</t>
  </si>
  <si>
    <t>file:///E:/Delphi/STALKER PDA/Resources/Armors/Комбинезон «СЕВА»</t>
  </si>
  <si>
    <t>Комбинезон «СЕВА»</t>
  </si>
  <si>
    <t>file:///E:/Delphi/STALKER PDA/Resources/Armors/Комбинезон «Страж монолита»</t>
  </si>
  <si>
    <t>Комбинезон «Страж монолита»</t>
  </si>
  <si>
    <t>file:///E:/Delphi/STALKER PDA/Resources/Armors/Комбинезон Наемника</t>
  </si>
  <si>
    <t>Комбинезон Наемника</t>
  </si>
  <si>
    <t>file:///E:/Delphi/STALKER PDA/Resources/Armors/Косуха</t>
  </si>
  <si>
    <t>Косуха</t>
  </si>
  <si>
    <t>file:///E:/Delphi/STALKER PDA/Resources/Armors/Куртка</t>
  </si>
  <si>
    <t>Куртка</t>
  </si>
  <si>
    <t>file:///E:/Delphi/STALKER PDA/Resources/Armors/ПСЗ-5Б «Друг бандита»</t>
  </si>
  <si>
    <t>ПСЗ-5Б «Друг бандита»</t>
  </si>
  <si>
    <t>file:///E:/Delphi/STALKER PDA/Resources/Armors/ПСЗ-5В «Страж Свободы»</t>
  </si>
  <si>
    <t>ПСЗ-5В «Страж Свободы»</t>
  </si>
  <si>
    <t>file:///E:/Delphi/STALKER PDA/Resources/Armors/ПСЗ-5Д «Универсальная защита»</t>
  </si>
  <si>
    <t>ПСЗ-5Д «Универсальная защита»</t>
  </si>
  <si>
    <t>file:///E:/Delphi/STALKER PDA/Resources/Armors/ПСЗ-5И «Искра»</t>
  </si>
  <si>
    <t>ПСЗ-5И «Искра»</t>
  </si>
  <si>
    <t>file:///E:/Delphi/STALKER PDA/Resources/Armors/ПСЗ-12В «Булат»</t>
  </si>
  <si>
    <t>ПСЗ-12В «Булат»</t>
  </si>
  <si>
    <t>file:///E:/Delphi/STALKER PDA/Resources/Armors/ССП-99 Еколог</t>
  </si>
  <si>
    <t>ССП-99 Еколог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</si>
</sst>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9213-4265-458B-B7DA-FB302CD30BF8}">
  <dimension ref="A1:AN23"/>
  <sheetViews>
    <sheetView tabSelected="1" workbookViewId="0">
      <selection activeCell="AN23" sqref="AN1:AN23"/>
    </sheetView>
  </sheetViews>
  <sheetFormatPr defaultRowHeight="15" x14ac:dyDescent="0.25"/>
  <sheetData>
    <row r="1" spans="1:40" x14ac:dyDescent="0.25">
      <c r="A1" t="s">
        <v>0</v>
      </c>
      <c r="I1" t="str">
        <f>REPLACE(A1,1,47,"")</f>
        <v>Бронекостюм «Берил-5М»</v>
      </c>
      <c r="L1" t="s">
        <v>1</v>
      </c>
      <c r="P1">
        <v>2</v>
      </c>
      <c r="Q1">
        <v>10</v>
      </c>
      <c r="R1">
        <v>14</v>
      </c>
      <c r="S1">
        <v>14</v>
      </c>
      <c r="T1">
        <v>42</v>
      </c>
      <c r="U1">
        <v>0</v>
      </c>
      <c r="V1">
        <v>60</v>
      </c>
      <c r="X1">
        <f>P1/5</f>
        <v>0.4</v>
      </c>
      <c r="Y1">
        <f>Q1/100</f>
        <v>0.1</v>
      </c>
      <c r="Z1">
        <f t="shared" ref="Z1:AD1" si="0">R1/100</f>
        <v>0.14000000000000001</v>
      </c>
      <c r="AA1">
        <f t="shared" si="0"/>
        <v>0.14000000000000001</v>
      </c>
      <c r="AB1">
        <f t="shared" si="0"/>
        <v>0.42</v>
      </c>
      <c r="AC1">
        <f t="shared" si="0"/>
        <v>0</v>
      </c>
      <c r="AD1">
        <f t="shared" si="0"/>
        <v>0.6</v>
      </c>
      <c r="AF1">
        <f>X1*10000</f>
        <v>4000</v>
      </c>
      <c r="AG1">
        <f>Y1*30000</f>
        <v>3000</v>
      </c>
      <c r="AH1">
        <f t="shared" ref="AH1:AL16" si="1">Z1*30000</f>
        <v>4200</v>
      </c>
      <c r="AI1">
        <f t="shared" si="1"/>
        <v>4200</v>
      </c>
      <c r="AJ1">
        <f t="shared" si="1"/>
        <v>12600</v>
      </c>
      <c r="AK1">
        <f t="shared" si="1"/>
        <v>0</v>
      </c>
      <c r="AL1">
        <f t="shared" si="1"/>
        <v>18000</v>
      </c>
      <c r="AN1">
        <f>SUM(AF1:AL1)</f>
        <v>46000</v>
      </c>
    </row>
    <row r="2" spans="1:40" x14ac:dyDescent="0.25">
      <c r="A2" t="s">
        <v>2</v>
      </c>
      <c r="I2" t="str">
        <f t="shared" ref="I2:I23" si="2">REPLACE(A2,1,47,"")</f>
        <v>Екзоскелет</v>
      </c>
      <c r="L2" t="s">
        <v>3</v>
      </c>
      <c r="P2">
        <v>4</v>
      </c>
      <c r="Q2">
        <v>24</v>
      </c>
      <c r="R2">
        <v>32</v>
      </c>
      <c r="S2">
        <v>32</v>
      </c>
      <c r="T2">
        <v>60</v>
      </c>
      <c r="U2">
        <v>50</v>
      </c>
      <c r="V2">
        <v>64</v>
      </c>
      <c r="X2">
        <f t="shared" ref="X2:X23" si="3">P2/5</f>
        <v>0.8</v>
      </c>
      <c r="Y2">
        <f t="shared" ref="Y2:Y23" si="4">Q2/100</f>
        <v>0.24</v>
      </c>
      <c r="Z2">
        <f t="shared" ref="Z2:Z23" si="5">R2/100</f>
        <v>0.32</v>
      </c>
      <c r="AA2">
        <f t="shared" ref="AA2:AA23" si="6">S2/100</f>
        <v>0.32</v>
      </c>
      <c r="AB2">
        <f t="shared" ref="AB2:AB23" si="7">T2/100</f>
        <v>0.6</v>
      </c>
      <c r="AC2">
        <f t="shared" ref="AC2:AC23" si="8">U2/100</f>
        <v>0.5</v>
      </c>
      <c r="AD2">
        <f t="shared" ref="AD2:AD23" si="9">V2/100</f>
        <v>0.64</v>
      </c>
      <c r="AF2">
        <f t="shared" ref="AF2:AF23" si="10">X2*10000</f>
        <v>8000</v>
      </c>
      <c r="AG2">
        <f t="shared" ref="AG2:AG23" si="11">Y2*30000</f>
        <v>7200</v>
      </c>
      <c r="AH2">
        <f t="shared" si="1"/>
        <v>9600</v>
      </c>
      <c r="AI2">
        <f t="shared" si="1"/>
        <v>9600</v>
      </c>
      <c r="AJ2">
        <f t="shared" si="1"/>
        <v>18000</v>
      </c>
      <c r="AK2">
        <f t="shared" si="1"/>
        <v>15000</v>
      </c>
      <c r="AL2">
        <f t="shared" si="1"/>
        <v>19200</v>
      </c>
      <c r="AN2">
        <f t="shared" ref="AN2:AN23" si="12">SUM(AF2:AL2)</f>
        <v>86600</v>
      </c>
    </row>
    <row r="3" spans="1:40" x14ac:dyDescent="0.25">
      <c r="A3" t="s">
        <v>4</v>
      </c>
      <c r="I3" t="str">
        <f t="shared" si="2"/>
        <v>Екзоскелет «Алмаз»</v>
      </c>
      <c r="L3" t="s">
        <v>5</v>
      </c>
      <c r="P3">
        <v>5</v>
      </c>
      <c r="Q3">
        <v>40</v>
      </c>
      <c r="R3">
        <v>40</v>
      </c>
      <c r="S3">
        <v>40</v>
      </c>
      <c r="T3">
        <v>80</v>
      </c>
      <c r="U3">
        <v>42</v>
      </c>
      <c r="V3">
        <v>80</v>
      </c>
      <c r="X3">
        <f t="shared" si="3"/>
        <v>1</v>
      </c>
      <c r="Y3">
        <f t="shared" si="4"/>
        <v>0.4</v>
      </c>
      <c r="Z3">
        <f t="shared" si="5"/>
        <v>0.4</v>
      </c>
      <c r="AA3">
        <f t="shared" si="6"/>
        <v>0.4</v>
      </c>
      <c r="AB3">
        <f t="shared" si="7"/>
        <v>0.8</v>
      </c>
      <c r="AC3">
        <f t="shared" si="8"/>
        <v>0.42</v>
      </c>
      <c r="AD3">
        <f t="shared" si="9"/>
        <v>0.8</v>
      </c>
      <c r="AF3">
        <f t="shared" si="10"/>
        <v>10000</v>
      </c>
      <c r="AG3">
        <f t="shared" si="11"/>
        <v>12000</v>
      </c>
      <c r="AH3">
        <f t="shared" si="1"/>
        <v>12000</v>
      </c>
      <c r="AI3">
        <f t="shared" si="1"/>
        <v>12000</v>
      </c>
      <c r="AJ3">
        <f t="shared" si="1"/>
        <v>24000</v>
      </c>
      <c r="AK3">
        <f t="shared" si="1"/>
        <v>12600</v>
      </c>
      <c r="AL3">
        <f t="shared" si="1"/>
        <v>24000</v>
      </c>
      <c r="AN3">
        <f t="shared" si="12"/>
        <v>106600</v>
      </c>
    </row>
    <row r="4" spans="1:40" x14ac:dyDescent="0.25">
      <c r="A4" t="s">
        <v>6</v>
      </c>
      <c r="I4" t="str">
        <f t="shared" si="2"/>
        <v>Екзоскелет «Брумбар»</v>
      </c>
      <c r="L4" t="s">
        <v>7</v>
      </c>
      <c r="P4">
        <v>4</v>
      </c>
      <c r="Q4">
        <v>31</v>
      </c>
      <c r="R4">
        <v>31</v>
      </c>
      <c r="S4">
        <v>34</v>
      </c>
      <c r="T4">
        <v>60</v>
      </c>
      <c r="U4">
        <v>22</v>
      </c>
      <c r="V4">
        <v>80</v>
      </c>
      <c r="X4">
        <f t="shared" si="3"/>
        <v>0.8</v>
      </c>
      <c r="Y4">
        <f t="shared" si="4"/>
        <v>0.31</v>
      </c>
      <c r="Z4">
        <f t="shared" si="5"/>
        <v>0.31</v>
      </c>
      <c r="AA4">
        <f t="shared" si="6"/>
        <v>0.34</v>
      </c>
      <c r="AB4">
        <f t="shared" si="7"/>
        <v>0.6</v>
      </c>
      <c r="AC4">
        <f t="shared" si="8"/>
        <v>0.22</v>
      </c>
      <c r="AD4">
        <f t="shared" si="9"/>
        <v>0.8</v>
      </c>
      <c r="AF4">
        <f t="shared" si="10"/>
        <v>8000</v>
      </c>
      <c r="AG4">
        <f t="shared" si="11"/>
        <v>9300</v>
      </c>
      <c r="AH4">
        <f t="shared" si="1"/>
        <v>9300</v>
      </c>
      <c r="AI4">
        <f t="shared" si="1"/>
        <v>10200</v>
      </c>
      <c r="AJ4">
        <f t="shared" si="1"/>
        <v>18000</v>
      </c>
      <c r="AK4">
        <f t="shared" si="1"/>
        <v>6600</v>
      </c>
      <c r="AL4">
        <f t="shared" si="1"/>
        <v>24000</v>
      </c>
      <c r="AN4">
        <f t="shared" si="12"/>
        <v>85400</v>
      </c>
    </row>
    <row r="5" spans="1:40" x14ac:dyDescent="0.25">
      <c r="A5" t="s">
        <v>8</v>
      </c>
      <c r="I5" t="str">
        <f t="shared" si="2"/>
        <v>Екзоскелет «Воля»</v>
      </c>
      <c r="L5" t="s">
        <v>9</v>
      </c>
      <c r="P5">
        <v>5</v>
      </c>
      <c r="Q5">
        <v>36</v>
      </c>
      <c r="R5">
        <v>36</v>
      </c>
      <c r="S5">
        <v>32</v>
      </c>
      <c r="T5">
        <v>80</v>
      </c>
      <c r="U5">
        <v>42</v>
      </c>
      <c r="V5">
        <v>86</v>
      </c>
      <c r="X5">
        <f t="shared" si="3"/>
        <v>1</v>
      </c>
      <c r="Y5">
        <f t="shared" si="4"/>
        <v>0.36</v>
      </c>
      <c r="Z5">
        <f t="shared" si="5"/>
        <v>0.36</v>
      </c>
      <c r="AA5">
        <f t="shared" si="6"/>
        <v>0.32</v>
      </c>
      <c r="AB5">
        <f t="shared" si="7"/>
        <v>0.8</v>
      </c>
      <c r="AC5">
        <f t="shared" si="8"/>
        <v>0.42</v>
      </c>
      <c r="AD5">
        <f t="shared" si="9"/>
        <v>0.86</v>
      </c>
      <c r="AF5">
        <f t="shared" si="10"/>
        <v>10000</v>
      </c>
      <c r="AG5">
        <f t="shared" si="11"/>
        <v>10800</v>
      </c>
      <c r="AH5">
        <f t="shared" si="1"/>
        <v>10800</v>
      </c>
      <c r="AI5">
        <f t="shared" si="1"/>
        <v>9600</v>
      </c>
      <c r="AJ5">
        <f t="shared" si="1"/>
        <v>24000</v>
      </c>
      <c r="AK5">
        <f t="shared" si="1"/>
        <v>12600</v>
      </c>
      <c r="AL5">
        <f t="shared" si="1"/>
        <v>25800</v>
      </c>
      <c r="AN5">
        <f t="shared" si="12"/>
        <v>103600</v>
      </c>
    </row>
    <row r="6" spans="1:40" x14ac:dyDescent="0.25">
      <c r="A6" t="s">
        <v>10</v>
      </c>
      <c r="I6" t="str">
        <f t="shared" si="2"/>
        <v>Екзоскелет «Панцир»</v>
      </c>
      <c r="L6" t="s">
        <v>11</v>
      </c>
      <c r="P6">
        <v>3</v>
      </c>
      <c r="Q6">
        <v>34</v>
      </c>
      <c r="R6">
        <v>34</v>
      </c>
      <c r="S6">
        <v>38</v>
      </c>
      <c r="T6">
        <v>60</v>
      </c>
      <c r="U6">
        <v>22</v>
      </c>
      <c r="V6">
        <v>86</v>
      </c>
      <c r="X6">
        <f t="shared" si="3"/>
        <v>0.6</v>
      </c>
      <c r="Y6">
        <f t="shared" si="4"/>
        <v>0.34</v>
      </c>
      <c r="Z6">
        <f t="shared" si="5"/>
        <v>0.34</v>
      </c>
      <c r="AA6">
        <f t="shared" si="6"/>
        <v>0.38</v>
      </c>
      <c r="AB6">
        <f t="shared" si="7"/>
        <v>0.6</v>
      </c>
      <c r="AC6">
        <f t="shared" si="8"/>
        <v>0.22</v>
      </c>
      <c r="AD6">
        <f t="shared" si="9"/>
        <v>0.86</v>
      </c>
      <c r="AF6">
        <f t="shared" si="10"/>
        <v>6000</v>
      </c>
      <c r="AG6">
        <f t="shared" si="11"/>
        <v>10200</v>
      </c>
      <c r="AH6">
        <f t="shared" si="1"/>
        <v>10200</v>
      </c>
      <c r="AI6">
        <f t="shared" si="1"/>
        <v>11400</v>
      </c>
      <c r="AJ6">
        <f t="shared" si="1"/>
        <v>18000</v>
      </c>
      <c r="AK6">
        <f t="shared" si="1"/>
        <v>6600</v>
      </c>
      <c r="AL6">
        <f t="shared" si="1"/>
        <v>25800</v>
      </c>
      <c r="AN6">
        <f t="shared" si="12"/>
        <v>88200</v>
      </c>
    </row>
    <row r="7" spans="1:40" x14ac:dyDescent="0.25">
      <c r="A7" t="s">
        <v>12</v>
      </c>
      <c r="I7" t="str">
        <f t="shared" si="2"/>
        <v>Екзоскелет Бандиты</v>
      </c>
      <c r="L7" t="s">
        <v>13</v>
      </c>
      <c r="P7">
        <v>3</v>
      </c>
      <c r="Q7">
        <v>26</v>
      </c>
      <c r="R7">
        <v>35</v>
      </c>
      <c r="S7">
        <v>28</v>
      </c>
      <c r="T7">
        <v>70</v>
      </c>
      <c r="U7">
        <v>18</v>
      </c>
      <c r="V7">
        <v>70</v>
      </c>
      <c r="X7">
        <f t="shared" si="3"/>
        <v>0.6</v>
      </c>
      <c r="Y7">
        <f t="shared" si="4"/>
        <v>0.26</v>
      </c>
      <c r="Z7">
        <f t="shared" si="5"/>
        <v>0.35</v>
      </c>
      <c r="AA7">
        <f t="shared" si="6"/>
        <v>0.28000000000000003</v>
      </c>
      <c r="AB7">
        <f t="shared" si="7"/>
        <v>0.7</v>
      </c>
      <c r="AC7">
        <f t="shared" si="8"/>
        <v>0.18</v>
      </c>
      <c r="AD7">
        <f t="shared" si="9"/>
        <v>0.7</v>
      </c>
      <c r="AF7">
        <f t="shared" si="10"/>
        <v>6000</v>
      </c>
      <c r="AG7">
        <f t="shared" si="11"/>
        <v>7800</v>
      </c>
      <c r="AH7">
        <f t="shared" si="1"/>
        <v>10500</v>
      </c>
      <c r="AI7">
        <f t="shared" si="1"/>
        <v>8400</v>
      </c>
      <c r="AJ7">
        <f t="shared" si="1"/>
        <v>21000</v>
      </c>
      <c r="AK7">
        <f t="shared" si="1"/>
        <v>5400</v>
      </c>
      <c r="AL7">
        <f t="shared" si="1"/>
        <v>21000</v>
      </c>
      <c r="AN7">
        <f t="shared" si="12"/>
        <v>80100</v>
      </c>
    </row>
    <row r="8" spans="1:40" x14ac:dyDescent="0.25">
      <c r="A8" t="s">
        <v>14</v>
      </c>
      <c r="I8" t="str">
        <f t="shared" si="2"/>
        <v>Комбинезон «Зоря»</v>
      </c>
      <c r="L8" t="s">
        <v>15</v>
      </c>
      <c r="P8">
        <v>2</v>
      </c>
      <c r="Q8">
        <v>14</v>
      </c>
      <c r="R8">
        <v>12</v>
      </c>
      <c r="S8">
        <v>14</v>
      </c>
      <c r="T8">
        <v>30</v>
      </c>
      <c r="U8">
        <v>0</v>
      </c>
      <c r="V8">
        <v>42</v>
      </c>
      <c r="X8">
        <f t="shared" si="3"/>
        <v>0.4</v>
      </c>
      <c r="Y8">
        <f t="shared" si="4"/>
        <v>0.14000000000000001</v>
      </c>
      <c r="Z8">
        <f t="shared" si="5"/>
        <v>0.12</v>
      </c>
      <c r="AA8">
        <f t="shared" si="6"/>
        <v>0.14000000000000001</v>
      </c>
      <c r="AB8">
        <f t="shared" si="7"/>
        <v>0.3</v>
      </c>
      <c r="AC8">
        <f t="shared" si="8"/>
        <v>0</v>
      </c>
      <c r="AD8">
        <f t="shared" si="9"/>
        <v>0.42</v>
      </c>
      <c r="AF8">
        <f t="shared" si="10"/>
        <v>4000</v>
      </c>
      <c r="AG8">
        <f t="shared" si="11"/>
        <v>4200</v>
      </c>
      <c r="AH8">
        <f t="shared" si="1"/>
        <v>3600</v>
      </c>
      <c r="AI8">
        <f t="shared" si="1"/>
        <v>4200</v>
      </c>
      <c r="AJ8">
        <f t="shared" si="1"/>
        <v>9000</v>
      </c>
      <c r="AK8">
        <f t="shared" si="1"/>
        <v>0</v>
      </c>
      <c r="AL8">
        <f t="shared" si="1"/>
        <v>12600</v>
      </c>
      <c r="AN8">
        <f t="shared" si="12"/>
        <v>37600</v>
      </c>
    </row>
    <row r="9" spans="1:40" x14ac:dyDescent="0.25">
      <c r="A9" t="s">
        <v>16</v>
      </c>
      <c r="I9" t="str">
        <f t="shared" si="2"/>
        <v>Комбинезон «СЕВА-В»</v>
      </c>
      <c r="L9" t="s">
        <v>17</v>
      </c>
      <c r="P9">
        <v>4</v>
      </c>
      <c r="Q9">
        <v>22</v>
      </c>
      <c r="R9">
        <v>26</v>
      </c>
      <c r="S9">
        <v>30</v>
      </c>
      <c r="T9">
        <v>64</v>
      </c>
      <c r="U9">
        <v>22</v>
      </c>
      <c r="V9">
        <v>42</v>
      </c>
      <c r="X9">
        <f t="shared" si="3"/>
        <v>0.8</v>
      </c>
      <c r="Y9">
        <f t="shared" si="4"/>
        <v>0.22</v>
      </c>
      <c r="Z9">
        <f t="shared" si="5"/>
        <v>0.26</v>
      </c>
      <c r="AA9">
        <f t="shared" si="6"/>
        <v>0.3</v>
      </c>
      <c r="AB9">
        <f t="shared" si="7"/>
        <v>0.64</v>
      </c>
      <c r="AC9">
        <f t="shared" si="8"/>
        <v>0.22</v>
      </c>
      <c r="AD9">
        <f t="shared" si="9"/>
        <v>0.42</v>
      </c>
      <c r="AF9">
        <f t="shared" si="10"/>
        <v>8000</v>
      </c>
      <c r="AG9">
        <f t="shared" si="11"/>
        <v>6600</v>
      </c>
      <c r="AH9">
        <f t="shared" si="1"/>
        <v>7800</v>
      </c>
      <c r="AI9">
        <f t="shared" si="1"/>
        <v>9000</v>
      </c>
      <c r="AJ9">
        <f t="shared" si="1"/>
        <v>19200</v>
      </c>
      <c r="AK9">
        <f t="shared" si="1"/>
        <v>6600</v>
      </c>
      <c r="AL9">
        <f t="shared" si="1"/>
        <v>12600</v>
      </c>
      <c r="AN9">
        <f t="shared" si="12"/>
        <v>69800</v>
      </c>
    </row>
    <row r="10" spans="1:40" x14ac:dyDescent="0.25">
      <c r="A10" t="s">
        <v>18</v>
      </c>
      <c r="I10" t="str">
        <f t="shared" si="2"/>
        <v>Комбинезон «СЕВА-Д»</v>
      </c>
      <c r="L10" t="s">
        <v>19</v>
      </c>
      <c r="P10">
        <v>3</v>
      </c>
      <c r="Q10">
        <v>22</v>
      </c>
      <c r="R10">
        <v>29</v>
      </c>
      <c r="S10">
        <v>28</v>
      </c>
      <c r="T10">
        <v>50</v>
      </c>
      <c r="U10">
        <v>31</v>
      </c>
      <c r="V10">
        <v>50</v>
      </c>
      <c r="X10">
        <f t="shared" si="3"/>
        <v>0.6</v>
      </c>
      <c r="Y10">
        <f t="shared" si="4"/>
        <v>0.22</v>
      </c>
      <c r="Z10">
        <f t="shared" si="5"/>
        <v>0.28999999999999998</v>
      </c>
      <c r="AA10">
        <f t="shared" si="6"/>
        <v>0.28000000000000003</v>
      </c>
      <c r="AB10">
        <f t="shared" si="7"/>
        <v>0.5</v>
      </c>
      <c r="AC10">
        <f t="shared" si="8"/>
        <v>0.31</v>
      </c>
      <c r="AD10">
        <f t="shared" si="9"/>
        <v>0.5</v>
      </c>
      <c r="AF10">
        <f t="shared" si="10"/>
        <v>6000</v>
      </c>
      <c r="AG10">
        <f t="shared" si="11"/>
        <v>6600</v>
      </c>
      <c r="AH10">
        <f t="shared" si="1"/>
        <v>8700</v>
      </c>
      <c r="AI10">
        <f t="shared" si="1"/>
        <v>8400</v>
      </c>
      <c r="AJ10">
        <f t="shared" si="1"/>
        <v>15000</v>
      </c>
      <c r="AK10">
        <f t="shared" si="1"/>
        <v>9300</v>
      </c>
      <c r="AL10">
        <f t="shared" si="1"/>
        <v>15000</v>
      </c>
      <c r="AN10">
        <f t="shared" si="12"/>
        <v>69000</v>
      </c>
    </row>
    <row r="11" spans="1:40" x14ac:dyDescent="0.25">
      <c r="A11" t="s">
        <v>20</v>
      </c>
      <c r="I11" t="str">
        <f t="shared" si="2"/>
        <v>Комбинезон «Сева-М» (DLC)</v>
      </c>
      <c r="L11" t="s">
        <v>21</v>
      </c>
      <c r="P11">
        <v>3</v>
      </c>
      <c r="Q11">
        <v>24</v>
      </c>
      <c r="R11">
        <v>46</v>
      </c>
      <c r="S11">
        <v>46</v>
      </c>
      <c r="T11">
        <v>68</v>
      </c>
      <c r="U11">
        <v>36</v>
      </c>
      <c r="V11">
        <v>48</v>
      </c>
      <c r="X11">
        <f t="shared" si="3"/>
        <v>0.6</v>
      </c>
      <c r="Y11">
        <f t="shared" si="4"/>
        <v>0.24</v>
      </c>
      <c r="Z11">
        <f t="shared" si="5"/>
        <v>0.46</v>
      </c>
      <c r="AA11">
        <f t="shared" si="6"/>
        <v>0.46</v>
      </c>
      <c r="AB11">
        <f t="shared" si="7"/>
        <v>0.68</v>
      </c>
      <c r="AC11">
        <f t="shared" si="8"/>
        <v>0.36</v>
      </c>
      <c r="AD11">
        <f t="shared" si="9"/>
        <v>0.48</v>
      </c>
      <c r="AF11">
        <f t="shared" si="10"/>
        <v>6000</v>
      </c>
      <c r="AG11">
        <f t="shared" si="11"/>
        <v>7200</v>
      </c>
      <c r="AH11">
        <f t="shared" si="1"/>
        <v>13800</v>
      </c>
      <c r="AI11">
        <f t="shared" si="1"/>
        <v>13800</v>
      </c>
      <c r="AJ11">
        <f t="shared" si="1"/>
        <v>20400</v>
      </c>
      <c r="AK11">
        <f t="shared" si="1"/>
        <v>10800</v>
      </c>
      <c r="AL11">
        <f t="shared" si="1"/>
        <v>14400</v>
      </c>
      <c r="AN11">
        <f t="shared" si="12"/>
        <v>86400</v>
      </c>
    </row>
    <row r="12" spans="1:40" x14ac:dyDescent="0.25">
      <c r="A12" t="s">
        <v>22</v>
      </c>
      <c r="I12" t="str">
        <f t="shared" si="2"/>
        <v>Комбинезон «СЕВА-Н»</v>
      </c>
      <c r="L12" t="s">
        <v>23</v>
      </c>
      <c r="P12">
        <v>3</v>
      </c>
      <c r="Q12">
        <v>22</v>
      </c>
      <c r="R12">
        <v>35</v>
      </c>
      <c r="S12">
        <v>24</v>
      </c>
      <c r="T12">
        <v>48</v>
      </c>
      <c r="U12">
        <v>38</v>
      </c>
      <c r="V12">
        <v>46</v>
      </c>
      <c r="X12">
        <f t="shared" si="3"/>
        <v>0.6</v>
      </c>
      <c r="Y12">
        <f t="shared" si="4"/>
        <v>0.22</v>
      </c>
      <c r="Z12">
        <f t="shared" si="5"/>
        <v>0.35</v>
      </c>
      <c r="AA12">
        <f t="shared" si="6"/>
        <v>0.24</v>
      </c>
      <c r="AB12">
        <f t="shared" si="7"/>
        <v>0.48</v>
      </c>
      <c r="AC12">
        <f t="shared" si="8"/>
        <v>0.38</v>
      </c>
      <c r="AD12">
        <f t="shared" si="9"/>
        <v>0.46</v>
      </c>
      <c r="AF12">
        <f t="shared" si="10"/>
        <v>6000</v>
      </c>
      <c r="AG12">
        <f t="shared" si="11"/>
        <v>6600</v>
      </c>
      <c r="AH12">
        <f t="shared" si="1"/>
        <v>10500</v>
      </c>
      <c r="AI12">
        <f t="shared" si="1"/>
        <v>7200</v>
      </c>
      <c r="AJ12">
        <f t="shared" si="1"/>
        <v>14400</v>
      </c>
      <c r="AK12">
        <f t="shared" si="1"/>
        <v>11400</v>
      </c>
      <c r="AL12">
        <f t="shared" si="1"/>
        <v>13800</v>
      </c>
      <c r="AN12">
        <f t="shared" si="12"/>
        <v>69900</v>
      </c>
    </row>
    <row r="13" spans="1:40" x14ac:dyDescent="0.25">
      <c r="A13" t="s">
        <v>24</v>
      </c>
      <c r="I13" t="str">
        <f t="shared" si="2"/>
        <v>Комбинезон «СЕВА»</v>
      </c>
      <c r="L13" t="s">
        <v>25</v>
      </c>
      <c r="P13">
        <v>3</v>
      </c>
      <c r="Q13">
        <v>24</v>
      </c>
      <c r="R13">
        <v>32</v>
      </c>
      <c r="S13">
        <v>32</v>
      </c>
      <c r="T13">
        <v>60</v>
      </c>
      <c r="U13">
        <v>30</v>
      </c>
      <c r="V13">
        <v>42</v>
      </c>
      <c r="X13">
        <f t="shared" si="3"/>
        <v>0.6</v>
      </c>
      <c r="Y13">
        <f t="shared" si="4"/>
        <v>0.24</v>
      </c>
      <c r="Z13">
        <f t="shared" si="5"/>
        <v>0.32</v>
      </c>
      <c r="AA13">
        <f t="shared" si="6"/>
        <v>0.32</v>
      </c>
      <c r="AB13">
        <f t="shared" si="7"/>
        <v>0.6</v>
      </c>
      <c r="AC13">
        <f t="shared" si="8"/>
        <v>0.3</v>
      </c>
      <c r="AD13">
        <f t="shared" si="9"/>
        <v>0.42</v>
      </c>
      <c r="AF13">
        <f t="shared" si="10"/>
        <v>6000</v>
      </c>
      <c r="AG13">
        <f t="shared" si="11"/>
        <v>7200</v>
      </c>
      <c r="AH13">
        <f t="shared" si="1"/>
        <v>9600</v>
      </c>
      <c r="AI13">
        <f t="shared" si="1"/>
        <v>9600</v>
      </c>
      <c r="AJ13">
        <f t="shared" si="1"/>
        <v>18000</v>
      </c>
      <c r="AK13">
        <f t="shared" si="1"/>
        <v>9000</v>
      </c>
      <c r="AL13">
        <f t="shared" si="1"/>
        <v>12600</v>
      </c>
      <c r="AN13">
        <f t="shared" si="12"/>
        <v>72000</v>
      </c>
    </row>
    <row r="14" spans="1:40" x14ac:dyDescent="0.25">
      <c r="A14" t="s">
        <v>26</v>
      </c>
      <c r="I14" t="str">
        <f t="shared" si="2"/>
        <v>Комбинезон «Страж монолита»</v>
      </c>
      <c r="L14" t="s">
        <v>27</v>
      </c>
      <c r="P14">
        <v>3</v>
      </c>
      <c r="Q14">
        <v>12</v>
      </c>
      <c r="R14">
        <v>12</v>
      </c>
      <c r="S14">
        <v>12</v>
      </c>
      <c r="T14">
        <v>42</v>
      </c>
      <c r="U14">
        <v>0</v>
      </c>
      <c r="V14">
        <v>48</v>
      </c>
      <c r="X14">
        <f t="shared" si="3"/>
        <v>0.6</v>
      </c>
      <c r="Y14">
        <f t="shared" si="4"/>
        <v>0.12</v>
      </c>
      <c r="Z14">
        <f t="shared" si="5"/>
        <v>0.12</v>
      </c>
      <c r="AA14">
        <f t="shared" si="6"/>
        <v>0.12</v>
      </c>
      <c r="AB14">
        <f t="shared" si="7"/>
        <v>0.42</v>
      </c>
      <c r="AC14">
        <f t="shared" si="8"/>
        <v>0</v>
      </c>
      <c r="AD14">
        <f t="shared" si="9"/>
        <v>0.48</v>
      </c>
      <c r="AF14">
        <f t="shared" si="10"/>
        <v>6000</v>
      </c>
      <c r="AG14">
        <f t="shared" si="11"/>
        <v>3600</v>
      </c>
      <c r="AH14">
        <f t="shared" si="1"/>
        <v>3600</v>
      </c>
      <c r="AI14">
        <f t="shared" si="1"/>
        <v>3600</v>
      </c>
      <c r="AJ14">
        <f t="shared" si="1"/>
        <v>12600</v>
      </c>
      <c r="AK14">
        <f t="shared" si="1"/>
        <v>0</v>
      </c>
      <c r="AL14">
        <f t="shared" si="1"/>
        <v>14400</v>
      </c>
      <c r="AN14">
        <f t="shared" si="12"/>
        <v>43800</v>
      </c>
    </row>
    <row r="15" spans="1:40" x14ac:dyDescent="0.25">
      <c r="A15" t="s">
        <v>28</v>
      </c>
      <c r="I15" t="str">
        <f t="shared" si="2"/>
        <v>Комбинезон Наемника</v>
      </c>
      <c r="L15" t="s">
        <v>29</v>
      </c>
      <c r="P15">
        <v>1</v>
      </c>
      <c r="Q15">
        <v>8</v>
      </c>
      <c r="R15">
        <v>10</v>
      </c>
      <c r="S15">
        <v>10</v>
      </c>
      <c r="T15">
        <v>32</v>
      </c>
      <c r="U15">
        <v>0</v>
      </c>
      <c r="V15">
        <v>42</v>
      </c>
      <c r="X15">
        <f t="shared" si="3"/>
        <v>0.2</v>
      </c>
      <c r="Y15">
        <f t="shared" si="4"/>
        <v>0.08</v>
      </c>
      <c r="Z15">
        <f t="shared" si="5"/>
        <v>0.1</v>
      </c>
      <c r="AA15">
        <f t="shared" si="6"/>
        <v>0.1</v>
      </c>
      <c r="AB15">
        <f t="shared" si="7"/>
        <v>0.32</v>
      </c>
      <c r="AC15">
        <f t="shared" si="8"/>
        <v>0</v>
      </c>
      <c r="AD15">
        <f t="shared" si="9"/>
        <v>0.42</v>
      </c>
      <c r="AF15">
        <f t="shared" si="10"/>
        <v>2000</v>
      </c>
      <c r="AG15">
        <f t="shared" si="11"/>
        <v>2400</v>
      </c>
      <c r="AH15">
        <f t="shared" si="1"/>
        <v>3000</v>
      </c>
      <c r="AI15">
        <f t="shared" si="1"/>
        <v>3000</v>
      </c>
      <c r="AJ15">
        <f t="shared" si="1"/>
        <v>9600</v>
      </c>
      <c r="AK15">
        <f t="shared" si="1"/>
        <v>0</v>
      </c>
      <c r="AL15">
        <f t="shared" si="1"/>
        <v>12600</v>
      </c>
      <c r="AN15">
        <f t="shared" si="12"/>
        <v>32600</v>
      </c>
    </row>
    <row r="16" spans="1:40" x14ac:dyDescent="0.25">
      <c r="A16" t="s">
        <v>30</v>
      </c>
      <c r="I16" t="str">
        <f t="shared" si="2"/>
        <v>Косуха</v>
      </c>
      <c r="L16" t="s">
        <v>31</v>
      </c>
      <c r="P16">
        <v>1</v>
      </c>
      <c r="Q16">
        <v>10</v>
      </c>
      <c r="R16">
        <v>10</v>
      </c>
      <c r="S16">
        <v>10</v>
      </c>
      <c r="T16">
        <v>22</v>
      </c>
      <c r="U16">
        <v>0</v>
      </c>
      <c r="V16">
        <v>22</v>
      </c>
      <c r="X16">
        <f t="shared" si="3"/>
        <v>0.2</v>
      </c>
      <c r="Y16">
        <f t="shared" si="4"/>
        <v>0.1</v>
      </c>
      <c r="Z16">
        <f t="shared" si="5"/>
        <v>0.1</v>
      </c>
      <c r="AA16">
        <f t="shared" si="6"/>
        <v>0.1</v>
      </c>
      <c r="AB16">
        <f t="shared" si="7"/>
        <v>0.22</v>
      </c>
      <c r="AC16">
        <f t="shared" si="8"/>
        <v>0</v>
      </c>
      <c r="AD16">
        <f t="shared" si="9"/>
        <v>0.22</v>
      </c>
      <c r="AF16">
        <f t="shared" si="10"/>
        <v>2000</v>
      </c>
      <c r="AG16">
        <f t="shared" si="11"/>
        <v>3000</v>
      </c>
      <c r="AH16">
        <f t="shared" si="1"/>
        <v>3000</v>
      </c>
      <c r="AI16">
        <f t="shared" si="1"/>
        <v>3000</v>
      </c>
      <c r="AJ16">
        <f t="shared" si="1"/>
        <v>6600</v>
      </c>
      <c r="AK16">
        <f t="shared" si="1"/>
        <v>0</v>
      </c>
      <c r="AL16">
        <f t="shared" si="1"/>
        <v>6600</v>
      </c>
      <c r="AN16">
        <f t="shared" si="12"/>
        <v>24200</v>
      </c>
    </row>
    <row r="17" spans="1:40" x14ac:dyDescent="0.25">
      <c r="A17" t="s">
        <v>32</v>
      </c>
      <c r="I17" t="str">
        <f t="shared" si="2"/>
        <v>Куртка</v>
      </c>
      <c r="L17" t="s">
        <v>33</v>
      </c>
      <c r="P17">
        <v>1</v>
      </c>
      <c r="Q17">
        <v>6</v>
      </c>
      <c r="R17">
        <v>6</v>
      </c>
      <c r="S17">
        <v>6</v>
      </c>
      <c r="T17">
        <v>10</v>
      </c>
      <c r="U17">
        <v>0</v>
      </c>
      <c r="V17">
        <v>16</v>
      </c>
      <c r="X17">
        <f t="shared" si="3"/>
        <v>0.2</v>
      </c>
      <c r="Y17">
        <f t="shared" si="4"/>
        <v>0.06</v>
      </c>
      <c r="Z17">
        <f t="shared" si="5"/>
        <v>0.06</v>
      </c>
      <c r="AA17">
        <f t="shared" si="6"/>
        <v>0.06</v>
      </c>
      <c r="AB17">
        <f t="shared" si="7"/>
        <v>0.1</v>
      </c>
      <c r="AC17">
        <f t="shared" si="8"/>
        <v>0</v>
      </c>
      <c r="AD17">
        <f t="shared" si="9"/>
        <v>0.16</v>
      </c>
      <c r="AF17">
        <f t="shared" si="10"/>
        <v>2000</v>
      </c>
      <c r="AG17">
        <f t="shared" si="11"/>
        <v>1800</v>
      </c>
      <c r="AH17">
        <f t="shared" ref="AH17:AH23" si="13">Z17*30000</f>
        <v>1800</v>
      </c>
      <c r="AI17">
        <f t="shared" ref="AI17:AI23" si="14">AA17*30000</f>
        <v>1800</v>
      </c>
      <c r="AJ17">
        <f t="shared" ref="AJ17:AJ23" si="15">AB17*30000</f>
        <v>3000</v>
      </c>
      <c r="AK17">
        <f t="shared" ref="AK17:AK23" si="16">AC17*30000</f>
        <v>0</v>
      </c>
      <c r="AL17">
        <f t="shared" ref="AL17:AL23" si="17">AD17*30000</f>
        <v>4800</v>
      </c>
      <c r="AN17">
        <f t="shared" si="12"/>
        <v>15200</v>
      </c>
    </row>
    <row r="18" spans="1:40" x14ac:dyDescent="0.25">
      <c r="A18" t="s">
        <v>34</v>
      </c>
      <c r="I18" t="str">
        <f t="shared" si="2"/>
        <v>ПСЗ-5Б «Друг бандита»</v>
      </c>
      <c r="L18" t="s">
        <v>35</v>
      </c>
      <c r="P18">
        <v>2</v>
      </c>
      <c r="Q18">
        <v>12</v>
      </c>
      <c r="R18">
        <v>14</v>
      </c>
      <c r="S18">
        <v>14</v>
      </c>
      <c r="T18">
        <v>35</v>
      </c>
      <c r="U18">
        <v>0</v>
      </c>
      <c r="V18">
        <v>44</v>
      </c>
      <c r="X18">
        <f t="shared" si="3"/>
        <v>0.4</v>
      </c>
      <c r="Y18">
        <f t="shared" si="4"/>
        <v>0.12</v>
      </c>
      <c r="Z18">
        <f t="shared" si="5"/>
        <v>0.14000000000000001</v>
      </c>
      <c r="AA18">
        <f t="shared" si="6"/>
        <v>0.14000000000000001</v>
      </c>
      <c r="AB18">
        <f t="shared" si="7"/>
        <v>0.35</v>
      </c>
      <c r="AC18">
        <f t="shared" si="8"/>
        <v>0</v>
      </c>
      <c r="AD18">
        <f t="shared" si="9"/>
        <v>0.44</v>
      </c>
      <c r="AF18">
        <f t="shared" si="10"/>
        <v>4000</v>
      </c>
      <c r="AG18">
        <f t="shared" si="11"/>
        <v>3600</v>
      </c>
      <c r="AH18">
        <f t="shared" si="13"/>
        <v>4200</v>
      </c>
      <c r="AI18">
        <f t="shared" si="14"/>
        <v>4200</v>
      </c>
      <c r="AJ18">
        <f t="shared" si="15"/>
        <v>10500</v>
      </c>
      <c r="AK18">
        <f t="shared" si="16"/>
        <v>0</v>
      </c>
      <c r="AL18">
        <f t="shared" si="17"/>
        <v>13200</v>
      </c>
      <c r="AN18">
        <f t="shared" si="12"/>
        <v>39700</v>
      </c>
    </row>
    <row r="19" spans="1:40" x14ac:dyDescent="0.25">
      <c r="A19" t="s">
        <v>36</v>
      </c>
      <c r="I19" t="str">
        <f t="shared" si="2"/>
        <v>ПСЗ-5В «Страж Свободы»</v>
      </c>
      <c r="L19" t="s">
        <v>37</v>
      </c>
      <c r="P19">
        <v>2</v>
      </c>
      <c r="Q19">
        <v>16</v>
      </c>
      <c r="R19">
        <v>14</v>
      </c>
      <c r="S19">
        <v>18</v>
      </c>
      <c r="T19">
        <v>42</v>
      </c>
      <c r="U19">
        <v>0</v>
      </c>
      <c r="V19">
        <v>44</v>
      </c>
      <c r="X19">
        <f t="shared" si="3"/>
        <v>0.4</v>
      </c>
      <c r="Y19">
        <f t="shared" si="4"/>
        <v>0.16</v>
      </c>
      <c r="Z19">
        <f t="shared" si="5"/>
        <v>0.14000000000000001</v>
      </c>
      <c r="AA19">
        <f t="shared" si="6"/>
        <v>0.18</v>
      </c>
      <c r="AB19">
        <f t="shared" si="7"/>
        <v>0.42</v>
      </c>
      <c r="AC19">
        <f t="shared" si="8"/>
        <v>0</v>
      </c>
      <c r="AD19">
        <f t="shared" si="9"/>
        <v>0.44</v>
      </c>
      <c r="AF19">
        <f t="shared" si="10"/>
        <v>4000</v>
      </c>
      <c r="AG19">
        <f t="shared" si="11"/>
        <v>4800</v>
      </c>
      <c r="AH19">
        <f t="shared" si="13"/>
        <v>4200</v>
      </c>
      <c r="AI19">
        <f t="shared" si="14"/>
        <v>5400</v>
      </c>
      <c r="AJ19">
        <f t="shared" si="15"/>
        <v>12600</v>
      </c>
      <c r="AK19">
        <f t="shared" si="16"/>
        <v>0</v>
      </c>
      <c r="AL19">
        <f t="shared" si="17"/>
        <v>13200</v>
      </c>
      <c r="AN19">
        <f t="shared" si="12"/>
        <v>44200</v>
      </c>
    </row>
    <row r="20" spans="1:40" x14ac:dyDescent="0.25">
      <c r="A20" t="s">
        <v>38</v>
      </c>
      <c r="I20" t="str">
        <f t="shared" si="2"/>
        <v>ПСЗ-5Д «Универсальная защита»</v>
      </c>
      <c r="L20" t="s">
        <v>39</v>
      </c>
      <c r="P20">
        <v>3</v>
      </c>
      <c r="Q20">
        <v>10</v>
      </c>
      <c r="R20">
        <v>14</v>
      </c>
      <c r="S20">
        <v>14</v>
      </c>
      <c r="T20">
        <v>30</v>
      </c>
      <c r="U20">
        <v>0</v>
      </c>
      <c r="V20">
        <v>46</v>
      </c>
      <c r="X20">
        <f t="shared" si="3"/>
        <v>0.6</v>
      </c>
      <c r="Y20">
        <f t="shared" si="4"/>
        <v>0.1</v>
      </c>
      <c r="Z20">
        <f t="shared" si="5"/>
        <v>0.14000000000000001</v>
      </c>
      <c r="AA20">
        <f t="shared" si="6"/>
        <v>0.14000000000000001</v>
      </c>
      <c r="AB20">
        <f t="shared" si="7"/>
        <v>0.3</v>
      </c>
      <c r="AC20">
        <f t="shared" si="8"/>
        <v>0</v>
      </c>
      <c r="AD20">
        <f t="shared" si="9"/>
        <v>0.46</v>
      </c>
      <c r="AF20">
        <f t="shared" si="10"/>
        <v>6000</v>
      </c>
      <c r="AG20">
        <f t="shared" si="11"/>
        <v>3000</v>
      </c>
      <c r="AH20">
        <f t="shared" si="13"/>
        <v>4200</v>
      </c>
      <c r="AI20">
        <f t="shared" si="14"/>
        <v>4200</v>
      </c>
      <c r="AJ20">
        <f t="shared" si="15"/>
        <v>9000</v>
      </c>
      <c r="AK20">
        <f t="shared" si="16"/>
        <v>0</v>
      </c>
      <c r="AL20">
        <f t="shared" si="17"/>
        <v>13800</v>
      </c>
      <c r="AN20">
        <f t="shared" si="12"/>
        <v>40200</v>
      </c>
    </row>
    <row r="21" spans="1:40" x14ac:dyDescent="0.25">
      <c r="A21" t="s">
        <v>40</v>
      </c>
      <c r="I21" t="str">
        <f t="shared" si="2"/>
        <v>ПСЗ-5И «Искра»</v>
      </c>
      <c r="L21" t="s">
        <v>41</v>
      </c>
      <c r="P21">
        <v>2</v>
      </c>
      <c r="Q21">
        <v>16</v>
      </c>
      <c r="R21">
        <v>14</v>
      </c>
      <c r="S21">
        <v>16</v>
      </c>
      <c r="T21">
        <v>42</v>
      </c>
      <c r="U21">
        <v>0</v>
      </c>
      <c r="V21">
        <v>46</v>
      </c>
      <c r="X21">
        <f t="shared" si="3"/>
        <v>0.4</v>
      </c>
      <c r="Y21">
        <f t="shared" si="4"/>
        <v>0.16</v>
      </c>
      <c r="Z21">
        <f t="shared" si="5"/>
        <v>0.14000000000000001</v>
      </c>
      <c r="AA21">
        <f t="shared" si="6"/>
        <v>0.16</v>
      </c>
      <c r="AB21">
        <f t="shared" si="7"/>
        <v>0.42</v>
      </c>
      <c r="AC21">
        <f t="shared" si="8"/>
        <v>0</v>
      </c>
      <c r="AD21">
        <f t="shared" si="9"/>
        <v>0.46</v>
      </c>
      <c r="AF21">
        <f t="shared" si="10"/>
        <v>4000</v>
      </c>
      <c r="AG21">
        <f t="shared" si="11"/>
        <v>4800</v>
      </c>
      <c r="AH21">
        <f t="shared" si="13"/>
        <v>4200</v>
      </c>
      <c r="AI21">
        <f t="shared" si="14"/>
        <v>4800</v>
      </c>
      <c r="AJ21">
        <f t="shared" si="15"/>
        <v>12600</v>
      </c>
      <c r="AK21">
        <f t="shared" si="16"/>
        <v>0</v>
      </c>
      <c r="AL21">
        <f t="shared" si="17"/>
        <v>13800</v>
      </c>
      <c r="AN21">
        <f t="shared" si="12"/>
        <v>44200</v>
      </c>
    </row>
    <row r="22" spans="1:40" x14ac:dyDescent="0.25">
      <c r="A22" t="s">
        <v>42</v>
      </c>
      <c r="I22" t="str">
        <f t="shared" si="2"/>
        <v>ПСЗ-12В «Булат»</v>
      </c>
      <c r="L22" t="s">
        <v>43</v>
      </c>
      <c r="P22">
        <v>4</v>
      </c>
      <c r="Q22">
        <v>20</v>
      </c>
      <c r="R22">
        <v>12</v>
      </c>
      <c r="S22">
        <v>14</v>
      </c>
      <c r="T22">
        <v>50</v>
      </c>
      <c r="U22">
        <v>0</v>
      </c>
      <c r="V22">
        <v>66</v>
      </c>
      <c r="X22">
        <f t="shared" si="3"/>
        <v>0.8</v>
      </c>
      <c r="Y22">
        <f t="shared" si="4"/>
        <v>0.2</v>
      </c>
      <c r="Z22">
        <f t="shared" si="5"/>
        <v>0.12</v>
      </c>
      <c r="AA22">
        <f t="shared" si="6"/>
        <v>0.14000000000000001</v>
      </c>
      <c r="AB22">
        <f t="shared" si="7"/>
        <v>0.5</v>
      </c>
      <c r="AC22">
        <f t="shared" si="8"/>
        <v>0</v>
      </c>
      <c r="AD22">
        <f t="shared" si="9"/>
        <v>0.66</v>
      </c>
      <c r="AF22">
        <f t="shared" si="10"/>
        <v>8000</v>
      </c>
      <c r="AG22">
        <f t="shared" si="11"/>
        <v>6000</v>
      </c>
      <c r="AH22">
        <f t="shared" si="13"/>
        <v>3600</v>
      </c>
      <c r="AI22">
        <f t="shared" si="14"/>
        <v>4200</v>
      </c>
      <c r="AJ22">
        <f t="shared" si="15"/>
        <v>15000</v>
      </c>
      <c r="AK22">
        <f t="shared" si="16"/>
        <v>0</v>
      </c>
      <c r="AL22">
        <f t="shared" si="17"/>
        <v>19800</v>
      </c>
      <c r="AN22">
        <f t="shared" si="12"/>
        <v>56600</v>
      </c>
    </row>
    <row r="23" spans="1:40" x14ac:dyDescent="0.25">
      <c r="A23" t="s">
        <v>44</v>
      </c>
      <c r="I23" t="str">
        <f t="shared" si="2"/>
        <v>ССП-99 Еколог</v>
      </c>
      <c r="L23" t="s">
        <v>45</v>
      </c>
      <c r="P23">
        <v>2</v>
      </c>
      <c r="Q23">
        <v>24</v>
      </c>
      <c r="R23">
        <v>30</v>
      </c>
      <c r="S23">
        <v>36</v>
      </c>
      <c r="T23">
        <v>60</v>
      </c>
      <c r="U23">
        <v>0</v>
      </c>
      <c r="V23">
        <v>22</v>
      </c>
      <c r="X23">
        <f t="shared" si="3"/>
        <v>0.4</v>
      </c>
      <c r="Y23">
        <f t="shared" si="4"/>
        <v>0.24</v>
      </c>
      <c r="Z23">
        <f t="shared" si="5"/>
        <v>0.3</v>
      </c>
      <c r="AA23">
        <f t="shared" si="6"/>
        <v>0.36</v>
      </c>
      <c r="AB23">
        <f t="shared" si="7"/>
        <v>0.6</v>
      </c>
      <c r="AC23">
        <f t="shared" si="8"/>
        <v>0</v>
      </c>
      <c r="AD23">
        <f t="shared" si="9"/>
        <v>0.22</v>
      </c>
      <c r="AF23">
        <f t="shared" si="10"/>
        <v>4000</v>
      </c>
      <c r="AG23">
        <f t="shared" si="11"/>
        <v>7200</v>
      </c>
      <c r="AH23">
        <f t="shared" si="13"/>
        <v>9000</v>
      </c>
      <c r="AI23">
        <f t="shared" si="14"/>
        <v>10800</v>
      </c>
      <c r="AJ23">
        <f t="shared" si="15"/>
        <v>18000</v>
      </c>
      <c r="AK23">
        <f t="shared" si="16"/>
        <v>0</v>
      </c>
      <c r="AL23">
        <f t="shared" si="17"/>
        <v>6600</v>
      </c>
      <c r="AN23">
        <f t="shared" si="12"/>
        <v>55600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2026-01-12T12:44:48Z</dcterms:created>
  <dcterms:modified xsi:type="dcterms:W3CDTF">2026-01-12T13:04:10Z</dcterms:modified>
</cp:coreProperties>
</file>